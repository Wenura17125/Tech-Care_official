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rushi\Desktop\project_official\Tech-Care_official\"/>
    </mc:Choice>
  </mc:AlternateContent>
  <xr:revisionPtr revIDLastSave="0" documentId="13_ncr:1_{647C7E79-118C-4D7B-8FDE-2B655C454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 Do List Check Box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6" l="1"/>
  <c r="H11" i="6"/>
  <c r="H9" i="6"/>
  <c r="H12" i="6" l="1"/>
</calcChain>
</file>

<file path=xl/sharedStrings.xml><?xml version="1.0" encoding="utf-8"?>
<sst xmlns="http://schemas.openxmlformats.org/spreadsheetml/2006/main" count="69" uniqueCount="41">
  <si>
    <t>#</t>
  </si>
  <si>
    <t>TO DO LIST</t>
  </si>
  <si>
    <t>Activities / Tasks / Items</t>
  </si>
  <si>
    <t>Date</t>
  </si>
  <si>
    <t>Status inputs</t>
  </si>
  <si>
    <t>Completed</t>
  </si>
  <si>
    <t>In Progress</t>
  </si>
  <si>
    <t>Not Started</t>
  </si>
  <si>
    <t>% Completed</t>
  </si>
  <si>
    <t>Priority</t>
  </si>
  <si>
    <t>High</t>
  </si>
  <si>
    <t>Medium</t>
  </si>
  <si>
    <t>Low</t>
  </si>
  <si>
    <t>Weightage</t>
  </si>
  <si>
    <t>Total Activities</t>
  </si>
  <si>
    <t>Total Score</t>
  </si>
  <si>
    <t>Completed Score</t>
  </si>
  <si>
    <t>31/10/2025</t>
  </si>
  <si>
    <t xml:space="preserve">Create GitHub repository </t>
  </si>
  <si>
    <r>
      <t>setup branches (</t>
    </r>
    <r>
      <rPr>
        <sz val="10"/>
        <color theme="1"/>
        <rFont val="Arial Unicode MS"/>
      </rPr>
      <t>main</t>
    </r>
    <r>
      <rPr>
        <sz val="10"/>
        <color theme="1"/>
        <rFont val="Verdana"/>
        <family val="2"/>
      </rPr>
      <t xml:space="preserve">, </t>
    </r>
    <r>
      <rPr>
        <sz val="10"/>
        <color theme="1"/>
        <rFont val="Arial Unicode MS"/>
      </rPr>
      <t>dev</t>
    </r>
    <r>
      <rPr>
        <sz val="10"/>
        <color theme="1"/>
        <rFont val="Verdana"/>
        <family val="2"/>
      </rPr>
      <t xml:space="preserve">, </t>
    </r>
    <r>
      <rPr>
        <sz val="10"/>
        <color theme="1"/>
        <rFont val="Arial Unicode MS"/>
      </rPr>
      <t>frontend</t>
    </r>
    <r>
      <rPr>
        <sz val="10"/>
        <color theme="1"/>
        <rFont val="Verdana"/>
        <family val="2"/>
      </rPr>
      <t xml:space="preserve">, </t>
    </r>
    <r>
      <rPr>
        <sz val="10"/>
        <color theme="1"/>
        <rFont val="Arial Unicode MS"/>
      </rPr>
      <t>backend</t>
    </r>
    <r>
      <rPr>
        <sz val="10"/>
        <color theme="1"/>
        <rFont val="Verdana"/>
        <family val="2"/>
      </rPr>
      <t>)</t>
    </r>
  </si>
  <si>
    <t>Initialize React.js project structure (frontend folder)</t>
  </si>
  <si>
    <t>Design landing page wireframe in Figma</t>
  </si>
  <si>
    <t>mplement landing page in React</t>
  </si>
  <si>
    <r>
      <t xml:space="preserve">Review and merge landing page branch into </t>
    </r>
    <r>
      <rPr>
        <sz val="10"/>
        <color theme="1"/>
        <rFont val="Arial Unicode MS"/>
      </rPr>
      <t>dev</t>
    </r>
  </si>
  <si>
    <r>
      <t>Setup Node.js + Express.js backend project (</t>
    </r>
    <r>
      <rPr>
        <sz val="10"/>
        <color theme="1"/>
        <rFont val="Arial Unicode MS"/>
      </rPr>
      <t>backend</t>
    </r>
    <r>
      <rPr>
        <sz val="10"/>
        <color theme="1"/>
        <rFont val="Verdana"/>
        <family val="2"/>
      </rPr>
      <t xml:space="preserve"> folder)</t>
    </r>
  </si>
  <si>
    <t>Create Technician Registration API with JWT</t>
  </si>
  <si>
    <t>Test registration API using Postman</t>
  </si>
  <si>
    <t>v</t>
  </si>
  <si>
    <r>
      <t xml:space="preserve">Push and merge backend API to </t>
    </r>
    <r>
      <rPr>
        <sz val="10"/>
        <color theme="1"/>
        <rFont val="Arial Unicode MS"/>
      </rPr>
      <t>dev</t>
    </r>
  </si>
  <si>
    <t>Create Mongoose models for Users &amp; Technicians</t>
  </si>
  <si>
    <t>Implement database connection with MongoDB Atlas</t>
  </si>
  <si>
    <t>ntegrate Stripe Payment Gateway (test key)</t>
  </si>
  <si>
    <t>Connect frontend booking form to backend API</t>
  </si>
  <si>
    <t>Conduct internal testing of all modules</t>
  </si>
  <si>
    <t>Fix UI bugs and backend errors</t>
  </si>
  <si>
    <t>Deploy backend on Render/Vercel</t>
  </si>
  <si>
    <t>Deploy frontend on Netlify</t>
  </si>
  <si>
    <t>Integration testing between both deployments</t>
  </si>
  <si>
    <t xml:space="preserve">Prepare final documentation </t>
  </si>
  <si>
    <t>Prepare final presentation slides</t>
  </si>
  <si>
    <r>
      <t xml:space="preserve">Merge </t>
    </r>
    <r>
      <rPr>
        <sz val="10"/>
        <color theme="1"/>
        <rFont val="Arial Unicode MS"/>
      </rPr>
      <t>dev</t>
    </r>
    <r>
      <rPr>
        <sz val="10"/>
        <color theme="1"/>
        <rFont val="Verdana"/>
        <family val="2"/>
      </rPr>
      <t xml:space="preserve"> → </t>
    </r>
    <r>
      <rPr>
        <sz val="10"/>
        <color theme="1"/>
        <rFont val="Arial Unicode MS"/>
      </rPr>
      <t>main</t>
    </r>
    <r>
      <rPr>
        <sz val="10"/>
        <color theme="1"/>
        <rFont val="Verdana"/>
        <family val="2"/>
      </rPr>
      <t xml:space="preserve"> and tag release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</si>
</sst>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.0%"/>
  </numFmts>
  <fonts count="6">
    <font>
      <sz val="10"/>
      <color theme="1"/>
      <name val="Verdana"/>
      <family val="2"/>
    </font>
    <font>
      <b/>
      <u/>
      <sz val="10"/>
      <color theme="4" tint="-0.249977111117893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u/>
      <sz val="12"/>
      <color theme="4" tint="-0.249977111117893"/>
      <name val="Verdana"/>
      <family val="2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49998474074526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4" fillId="0" borderId="0" xfId="0" applyFont="1" applyAlignment="1">
      <alignment horizontal="centerContinuous" vertical="top"/>
    </xf>
    <xf numFmtId="0" fontId="1" fillId="0" borderId="0" xfId="0" applyFont="1" applyAlignment="1">
      <alignment horizontal="centerContinuous" vertical="top"/>
    </xf>
    <xf numFmtId="0" fontId="0" fillId="0" borderId="0" xfId="0" applyAlignment="1">
      <alignment horizontal="centerContinuous" vertical="top"/>
    </xf>
    <xf numFmtId="0" fontId="3" fillId="0" borderId="5" xfId="0" applyFont="1" applyBorder="1"/>
    <xf numFmtId="0" fontId="2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/>
    <xf numFmtId="0" fontId="3" fillId="0" borderId="7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164" fontId="3" fillId="0" borderId="8" xfId="0" applyNumberFormat="1" applyFont="1" applyBorder="1"/>
    <xf numFmtId="164" fontId="3" fillId="0" borderId="7" xfId="0" applyNumberFormat="1" applyFont="1" applyBorder="1"/>
    <xf numFmtId="0" fontId="3" fillId="0" borderId="8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ont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  <a:alpha val="7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E-4465-9575-A2FB1D517704}"/>
              </c:ext>
            </c:extLst>
          </c:dPt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BEAE-4465-9575-A2FB1D517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431484408"/>
        <c:axId val="431484800"/>
      </c:barChar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Ref>
              <c:f>'To Do List Check Box'!$H$12</c:f>
              <c:numCache>
                <c:formatCode>0.0%</c:formatCode>
                <c:ptCount val="1"/>
                <c:pt idx="0">
                  <c:v>0.17391304347826086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AE-4465-9575-A2FB1D517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431473040"/>
        <c:axId val="431485192"/>
      </c:barChart>
      <c:catAx>
        <c:axId val="431484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1484800"/>
        <c:crosses val="autoZero"/>
        <c:auto val="1"/>
        <c:lblAlgn val="ctr"/>
        <c:lblOffset val="100"/>
        <c:noMultiLvlLbl val="0"/>
      </c:catAx>
      <c:valAx>
        <c:axId val="431484800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431484408"/>
        <c:crosses val="autoZero"/>
        <c:crossBetween val="between"/>
      </c:valAx>
      <c:valAx>
        <c:axId val="431485192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431473040"/>
        <c:crosses val="max"/>
        <c:crossBetween val="between"/>
      </c:valAx>
      <c:catAx>
        <c:axId val="4314730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31485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E$5" lockText="1" noThreeD="1"/>
</file>

<file path=xl/ctrlProps/ctrlProp2.xml><?xml version="1.0" encoding="utf-8"?>
<formControlPr xmlns="http://schemas.microsoft.com/office/spreadsheetml/2009/9/main" objectType="CheckBox" checked="Checked" fmlaLink="$E$6" lockText="1" noThreeD="1"/>
</file>

<file path=xl/ctrlProps/ctrlProp3.xml><?xml version="1.0" encoding="utf-8"?>
<formControlPr xmlns="http://schemas.microsoft.com/office/spreadsheetml/2009/9/main" objectType="CheckBox" checked="Checked" fmlaLink="$E$7" lockText="1" noThreeD="1"/>
</file>

<file path=xl/ctrlProps/ctrlProp4.xml><?xml version="1.0" encoding="utf-8"?>
<formControlPr xmlns="http://schemas.microsoft.com/office/spreadsheetml/2009/9/main" objectType="CheckBox" checked="Checked" fmlaLink="$E$8" lockText="1" noThreeD="1"/>
</file>

<file path=xl/ctrlProps/ctrlProp5.xml><?xml version="1.0" encoding="utf-8"?>
<formControlPr xmlns="http://schemas.microsoft.com/office/spreadsheetml/2009/9/main" objectType="CheckBox" fmlaLink="$E$9" lockText="1" noThreeD="1"/>
</file>

<file path=xl/ctrlProps/ctrlProp6.xml><?xml version="1.0" encoding="utf-8"?>
<formControlPr xmlns="http://schemas.microsoft.com/office/spreadsheetml/2009/9/main" objectType="CheckBox" fmlaLink="$E$10" lockText="1" noThreeD="1"/>
</file>

<file path=xl/ctrlProps/ctrlProp7.xml><?xml version="1.0" encoding="utf-8"?>
<formControlPr xmlns="http://schemas.microsoft.com/office/spreadsheetml/2009/9/main" objectType="CheckBox" fmlaLink="$E$11" lockText="1" noThreeD="1"/>
</file>

<file path=xl/ctrlProps/ctrlProp8.xml><?xml version="1.0" encoding="utf-8"?>
<formControlPr xmlns="http://schemas.microsoft.com/office/spreadsheetml/2009/9/main" objectType="CheckBox" fmlaLink="$E$12" lockText="1" noThreeD="1"/>
</file>

<file path=xl/ctrlProps/ctrlProp9.xml><?xml version="1.0" encoding="utf-8"?>
<formControlPr xmlns="http://schemas.microsoft.com/office/spreadsheetml/2009/9/main" objectType="CheckBox" fmlaLink="$E$13" lockText="1" noThreeD="1"/>
</file>

<file path=xl/ctrlProps/ctrlProp10.xml><?xml version="1.0" encoding="utf-8"?>
<formControlPr xmlns="http://schemas.microsoft.com/office/spreadsheetml/2009/9/main" objectType="CheckBox" fmlaLink="$E$14" lockText="1" noThreeD="1"/>
</file>

<file path=xl/ctrlProps/ctrlProp11.xml><?xml version="1.0" encoding="utf-8"?>
<formControlPr xmlns="http://schemas.microsoft.com/office/spreadsheetml/2009/9/main" objectType="CheckBox" fmlaLink="$E$15" lockText="1" noThreeD="1"/>
</file>

<file path=xl/ctrlProps/ctrlProp12.xml><?xml version="1.0" encoding="utf-8"?>
<formControlPr xmlns="http://schemas.microsoft.com/office/spreadsheetml/2009/9/main" objectType="CheckBox" fmlaLink="$E$16" lockText="1" noThreeD="1"/>
</file>

<file path=xl/ctrlProps/ctrlProp13.xml><?xml version="1.0" encoding="utf-8"?>
<formControlPr xmlns="http://schemas.microsoft.com/office/spreadsheetml/2009/9/main" objectType="CheckBox" fmlaLink="$E$17" lockText="1" noThreeD="1"/>
</file>

<file path=xl/ctrlProps/ctrlProp14.xml><?xml version="1.0" encoding="utf-8"?>
<formControlPr xmlns="http://schemas.microsoft.com/office/spreadsheetml/2009/9/main" objectType="CheckBox" fmlaLink="$E$18" lockText="1" noThreeD="1"/>
</file>

<file path=xl/ctrlProps/ctrlProp15.xml><?xml version="1.0" encoding="utf-8"?>
<formControlPr xmlns="http://schemas.microsoft.com/office/spreadsheetml/2009/9/main" objectType="CheckBox" fmlaLink="$E$19" lockText="1" noThreeD="1"/>
</file>

<file path=xl/ctrlProps/ctrlProp16.xml><?xml version="1.0" encoding="utf-8"?>
<formControlPr xmlns="http://schemas.microsoft.com/office/spreadsheetml/2009/9/main" objectType="CheckBox" fmlaLink="$E$20" lockText="1" noThreeD="1"/>
</file>

<file path=xl/ctrlProps/ctrlProp17.xml><?xml version="1.0" encoding="utf-8"?>
<formControlPr xmlns="http://schemas.microsoft.com/office/spreadsheetml/2009/9/main" objectType="CheckBox" fmlaLink="$E$21" lockText="1" noThreeD="1"/>
</file>

<file path=xl/ctrlProps/ctrlProp18.xml><?xml version="1.0" encoding="utf-8"?>
<formControlPr xmlns="http://schemas.microsoft.com/office/spreadsheetml/2009/9/main" objectType="CheckBox" fmlaLink="$E$22" lockText="1" noThreeD="1"/>
</file>

<file path=xl/ctrlProps/ctrlProp19.xml><?xml version="1.0" encoding="utf-8"?>
<formControlPr xmlns="http://schemas.microsoft.com/office/spreadsheetml/2009/9/main" objectType="CheckBox" fmlaLink="$E$23" lockText="1" noThreeD="1"/>
</file>

<file path=xl/ctrlProps/ctrlProp20.xml><?xml version="1.0" encoding="utf-8"?>
<formControlPr xmlns="http://schemas.microsoft.com/office/spreadsheetml/2009/9/main" objectType="CheckBox" fmlaLink="$E$24" lockText="1" noThreeD="1"/>
</file>

<file path=xl/ctrlProps/ctrlProp21.xml><?xml version="1.0" encoding="utf-8"?>
<formControlPr xmlns="http://schemas.microsoft.com/office/spreadsheetml/2009/9/main" objectType="CheckBox" fmlaLink="$E$25" lockText="1" noThreeD="1"/>
</file>

<file path=xl/ctrlProps/ctrlProp22.xml><?xml version="1.0" encoding="utf-8"?>
<formControlPr xmlns="http://schemas.microsoft.com/office/spreadsheetml/2009/9/main" objectType="CheckBox" fmlaLink="$E$26" lockText="1" noThreeD="1"/>
</file>

<file path=xl/ctrlProps/ctrlProp23.xml><?xml version="1.0" encoding="utf-8"?>
<formControlPr xmlns="http://schemas.microsoft.com/office/spreadsheetml/2009/9/main" objectType="CheckBox" fmlaLink="$E$27" lockText="1" noThreeD="1"/>
</file>

<file path=xl/ctrlProps/ctrlProp24.xml><?xml version="1.0" encoding="utf-8"?>
<formControlPr xmlns="http://schemas.microsoft.com/office/spreadsheetml/2009/9/main" objectType="CheckBox" fmlaLink="$E$28" lockText="1" noThreeD="1"/>
</file>

<file path=xl/ctrlProps/ctrlProp25.xml><?xml version="1.0" encoding="utf-8"?>
<formControlPr xmlns="http://schemas.microsoft.com/office/spreadsheetml/2009/9/main" objectType="CheckBox" fmlaLink="$E$29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1</xdr:row>
      <xdr:rowOff>28575</xdr:rowOff>
    </xdr:from>
    <xdr:to>
      <xdr:col>3</xdr:col>
      <xdr:colOff>160020</xdr:colOff>
      <xdr:row>1</xdr:row>
      <xdr:rowOff>342900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495299</xdr:colOff>
      <xdr:row>1</xdr:row>
      <xdr:rowOff>80962</xdr:rowOff>
    </xdr:from>
    <xdr:to>
      <xdr:col>5</xdr:col>
      <xdr:colOff>0</xdr:colOff>
      <xdr:row>1</xdr:row>
      <xdr:rowOff>290512</xdr:rowOff>
    </xdr:to>
    <xdr:sp macro="" textlink="$H$12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095874" y="357187"/>
          <a:ext cx="676276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8E5F9B6-F467-45D6-BB80-245A13DA7B19}" type="TxLink">
            <a:rPr lang="en-US" sz="800" b="1" i="1" u="none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pPr algn="ctr"/>
            <a:t>17.4%</a:t>
          </a:fld>
          <a:endParaRPr lang="en-GB" sz="800" b="1" i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9</xdr:col>
      <xdr:colOff>190500</xdr:colOff>
      <xdr:row>0</xdr:row>
      <xdr:rowOff>0</xdr:rowOff>
    </xdr:from>
    <xdr:to>
      <xdr:col>14</xdr:col>
      <xdr:colOff>276225</xdr:colOff>
      <xdr:row>14</xdr:row>
      <xdr:rowOff>95250</xdr:rowOff>
    </xdr:to>
    <xdr:sp macro="" textlink="G21">
      <xdr:nvSpPr>
        <xdr:cNvPr id="4" name="Flowchart: Alternate Proces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962650" y="0"/>
          <a:ext cx="3514725" cy="2638425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33085FA-8211-4905-AF78-ABD6E1FD3C67}" type="TxLink">
            <a:rPr lang="en-US" sz="1800" b="0" i="0" u="none" strike="noStrike">
              <a:solidFill>
                <a:srgbClr val="C00000"/>
              </a:solidFill>
              <a:latin typeface="Segoe Print" panose="02000600000000000000" pitchFamily="2" charset="0"/>
              <a:ea typeface="Verdana"/>
              <a:cs typeface="Verdana"/>
            </a:rPr>
            <a:pPr algn="ctr"/>
            <a:t> </a:t>
          </a:fld>
          <a:endParaRPr lang="en-GB" sz="1800">
            <a:solidFill>
              <a:srgbClr val="C00000"/>
            </a:solidFill>
            <a:latin typeface="Segoe Print" panose="02000600000000000000" pitchFamily="2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3</xdr:row>
          <xdr:rowOff>213360</xdr:rowOff>
        </xdr:from>
        <xdr:to>
          <xdr:col>9</xdr:col>
          <xdr:colOff>114300</xdr:colOff>
          <xdr:row>5</xdr:row>
          <xdr:rowOff>7620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4</xdr:row>
          <xdr:rowOff>152400</xdr:rowOff>
        </xdr:from>
        <xdr:to>
          <xdr:col>9</xdr:col>
          <xdr:colOff>114300</xdr:colOff>
          <xdr:row>6</xdr:row>
          <xdr:rowOff>7620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5</xdr:row>
          <xdr:rowOff>144780</xdr:rowOff>
        </xdr:from>
        <xdr:to>
          <xdr:col>9</xdr:col>
          <xdr:colOff>114300</xdr:colOff>
          <xdr:row>7</xdr:row>
          <xdr:rowOff>15240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6</xdr:row>
          <xdr:rowOff>144780</xdr:rowOff>
        </xdr:from>
        <xdr:to>
          <xdr:col>9</xdr:col>
          <xdr:colOff>114300</xdr:colOff>
          <xdr:row>8</xdr:row>
          <xdr:rowOff>15240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7</xdr:row>
          <xdr:rowOff>144780</xdr:rowOff>
        </xdr:from>
        <xdr:to>
          <xdr:col>9</xdr:col>
          <xdr:colOff>114300</xdr:colOff>
          <xdr:row>9</xdr:row>
          <xdr:rowOff>30480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8</xdr:row>
          <xdr:rowOff>144780</xdr:rowOff>
        </xdr:from>
        <xdr:to>
          <xdr:col>9</xdr:col>
          <xdr:colOff>114300</xdr:colOff>
          <xdr:row>10</xdr:row>
          <xdr:rowOff>30480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9</xdr:row>
          <xdr:rowOff>144780</xdr:rowOff>
        </xdr:from>
        <xdr:to>
          <xdr:col>9</xdr:col>
          <xdr:colOff>114300</xdr:colOff>
          <xdr:row>11</xdr:row>
          <xdr:rowOff>30480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10</xdr:row>
          <xdr:rowOff>144780</xdr:rowOff>
        </xdr:from>
        <xdr:to>
          <xdr:col>9</xdr:col>
          <xdr:colOff>114300</xdr:colOff>
          <xdr:row>12</xdr:row>
          <xdr:rowOff>30480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11</xdr:row>
          <xdr:rowOff>144780</xdr:rowOff>
        </xdr:from>
        <xdr:to>
          <xdr:col>9</xdr:col>
          <xdr:colOff>114300</xdr:colOff>
          <xdr:row>13</xdr:row>
          <xdr:rowOff>30480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0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12</xdr:row>
          <xdr:rowOff>144780</xdr:rowOff>
        </xdr:from>
        <xdr:to>
          <xdr:col>9</xdr:col>
          <xdr:colOff>114300</xdr:colOff>
          <xdr:row>14</xdr:row>
          <xdr:rowOff>30480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0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13</xdr:row>
          <xdr:rowOff>137160</xdr:rowOff>
        </xdr:from>
        <xdr:to>
          <xdr:col>9</xdr:col>
          <xdr:colOff>114300</xdr:colOff>
          <xdr:row>15</xdr:row>
          <xdr:rowOff>22860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14</xdr:row>
          <xdr:rowOff>137160</xdr:rowOff>
        </xdr:from>
        <xdr:to>
          <xdr:col>9</xdr:col>
          <xdr:colOff>114300</xdr:colOff>
          <xdr:row>16</xdr:row>
          <xdr:rowOff>22860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0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15</xdr:row>
          <xdr:rowOff>137160</xdr:rowOff>
        </xdr:from>
        <xdr:to>
          <xdr:col>9</xdr:col>
          <xdr:colOff>114300</xdr:colOff>
          <xdr:row>17</xdr:row>
          <xdr:rowOff>22860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0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16</xdr:row>
          <xdr:rowOff>137160</xdr:rowOff>
        </xdr:from>
        <xdr:to>
          <xdr:col>9</xdr:col>
          <xdr:colOff>114300</xdr:colOff>
          <xdr:row>18</xdr:row>
          <xdr:rowOff>22860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0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17</xdr:row>
          <xdr:rowOff>137160</xdr:rowOff>
        </xdr:from>
        <xdr:to>
          <xdr:col>9</xdr:col>
          <xdr:colOff>114300</xdr:colOff>
          <xdr:row>19</xdr:row>
          <xdr:rowOff>22860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0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18</xdr:row>
          <xdr:rowOff>137160</xdr:rowOff>
        </xdr:from>
        <xdr:to>
          <xdr:col>9</xdr:col>
          <xdr:colOff>114300</xdr:colOff>
          <xdr:row>20</xdr:row>
          <xdr:rowOff>22860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0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19</xdr:row>
          <xdr:rowOff>137160</xdr:rowOff>
        </xdr:from>
        <xdr:to>
          <xdr:col>9</xdr:col>
          <xdr:colOff>114300</xdr:colOff>
          <xdr:row>21</xdr:row>
          <xdr:rowOff>22860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0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20</xdr:row>
          <xdr:rowOff>137160</xdr:rowOff>
        </xdr:from>
        <xdr:to>
          <xdr:col>9</xdr:col>
          <xdr:colOff>114300</xdr:colOff>
          <xdr:row>22</xdr:row>
          <xdr:rowOff>22860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0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21</xdr:row>
          <xdr:rowOff>137160</xdr:rowOff>
        </xdr:from>
        <xdr:to>
          <xdr:col>9</xdr:col>
          <xdr:colOff>114300</xdr:colOff>
          <xdr:row>23</xdr:row>
          <xdr:rowOff>22860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0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22</xdr:row>
          <xdr:rowOff>137160</xdr:rowOff>
        </xdr:from>
        <xdr:to>
          <xdr:col>9</xdr:col>
          <xdr:colOff>114300</xdr:colOff>
          <xdr:row>24</xdr:row>
          <xdr:rowOff>22860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0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23</xdr:row>
          <xdr:rowOff>137160</xdr:rowOff>
        </xdr:from>
        <xdr:to>
          <xdr:col>9</xdr:col>
          <xdr:colOff>114300</xdr:colOff>
          <xdr:row>25</xdr:row>
          <xdr:rowOff>22860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0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24</xdr:row>
          <xdr:rowOff>137160</xdr:rowOff>
        </xdr:from>
        <xdr:to>
          <xdr:col>9</xdr:col>
          <xdr:colOff>114300</xdr:colOff>
          <xdr:row>26</xdr:row>
          <xdr:rowOff>22860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0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25</xdr:row>
          <xdr:rowOff>137160</xdr:rowOff>
        </xdr:from>
        <xdr:to>
          <xdr:col>9</xdr:col>
          <xdr:colOff>114300</xdr:colOff>
          <xdr:row>27</xdr:row>
          <xdr:rowOff>22860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0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26</xdr:row>
          <xdr:rowOff>144780</xdr:rowOff>
        </xdr:from>
        <xdr:to>
          <xdr:col>9</xdr:col>
          <xdr:colOff>114300</xdr:colOff>
          <xdr:row>28</xdr:row>
          <xdr:rowOff>30480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0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27</xdr:row>
          <xdr:rowOff>144780</xdr:rowOff>
        </xdr:from>
        <xdr:to>
          <xdr:col>9</xdr:col>
          <xdr:colOff>114300</xdr:colOff>
          <xdr:row>29</xdr:row>
          <xdr:rowOff>30480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0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I29"/>
  <sheetViews>
    <sheetView showGridLines="0" tabSelected="1" topLeftCell="A2" zoomScaleNormal="100" workbookViewId="0">
      <selection activeCell="C7" sqref="C7"/>
    </sheetView>
  </sheetViews>
  <sheetFormatPr defaultRowHeight="12.6"/>
  <cols>
    <col min="1" max="1" width="4" customWidth="1"/>
    <col min="2" max="2" width="10.08984375" customWidth="1"/>
    <col min="3" max="3" width="50.6328125" customWidth="1"/>
    <col min="4" max="4" width="11.453125" customWidth="1"/>
    <col min="5" max="5" width="15.36328125" customWidth="1"/>
    <col min="6" max="6" width="4.36328125" hidden="1" customWidth="1"/>
    <col min="7" max="7" width="16.6328125" hidden="1" customWidth="1"/>
    <col min="8" max="8" width="10.6328125" hidden="1" customWidth="1"/>
    <col min="9" max="9" width="10" hidden="1" customWidth="1"/>
  </cols>
  <sheetData>
    <row r="1" spans="1:9" ht="21.75" customHeight="1">
      <c r="A1" s="7" t="s">
        <v>1</v>
      </c>
      <c r="B1" s="7"/>
      <c r="C1" s="8"/>
      <c r="D1" s="8"/>
      <c r="E1" s="9"/>
    </row>
    <row r="2" spans="1:9" ht="28.5" customHeight="1">
      <c r="A2" s="4"/>
      <c r="B2" s="5"/>
      <c r="C2" s="5"/>
      <c r="D2" s="5"/>
      <c r="E2" s="6"/>
    </row>
    <row r="3" spans="1:9" ht="5.25" customHeight="1"/>
    <row r="4" spans="1:9" ht="17.25" customHeight="1" thickBot="1">
      <c r="A4" s="19" t="s">
        <v>0</v>
      </c>
      <c r="B4" s="19" t="s">
        <v>3</v>
      </c>
      <c r="C4" s="19" t="s">
        <v>2</v>
      </c>
      <c r="D4" s="19" t="s">
        <v>9</v>
      </c>
      <c r="E4" s="20" t="s">
        <v>5</v>
      </c>
      <c r="G4" s="3" t="s">
        <v>4</v>
      </c>
      <c r="H4" s="3" t="s">
        <v>9</v>
      </c>
      <c r="I4" s="11" t="s">
        <v>13</v>
      </c>
    </row>
    <row r="5" spans="1:9" ht="15" customHeight="1" thickTop="1">
      <c r="A5" s="17">
        <v>1</v>
      </c>
      <c r="B5" s="18" t="s">
        <v>17</v>
      </c>
      <c r="C5" s="23" t="s">
        <v>18</v>
      </c>
      <c r="D5" s="14" t="s">
        <v>10</v>
      </c>
      <c r="E5" s="21" t="b">
        <v>1</v>
      </c>
      <c r="G5" s="2" t="s">
        <v>5</v>
      </c>
      <c r="H5" s="10" t="s">
        <v>10</v>
      </c>
      <c r="I5" s="12">
        <v>5</v>
      </c>
    </row>
    <row r="6" spans="1:9" ht="12.75" customHeight="1">
      <c r="A6" s="14">
        <v>2</v>
      </c>
      <c r="B6" s="15">
        <v>45667</v>
      </c>
      <c r="C6" t="s">
        <v>19</v>
      </c>
      <c r="D6" s="16" t="s">
        <v>10</v>
      </c>
      <c r="E6" s="22" t="b">
        <v>1</v>
      </c>
      <c r="G6" s="2" t="s">
        <v>6</v>
      </c>
      <c r="H6" s="10" t="s">
        <v>11</v>
      </c>
      <c r="I6" s="12">
        <v>3</v>
      </c>
    </row>
    <row r="7" spans="1:9" ht="13.95" customHeight="1">
      <c r="A7" s="14">
        <v>3</v>
      </c>
      <c r="B7" s="15">
        <v>42255</v>
      </c>
      <c r="C7" s="16" t="s">
        <v>20</v>
      </c>
      <c r="D7" s="16" t="s">
        <v>11</v>
      </c>
      <c r="E7" s="22" t="b">
        <v>1</v>
      </c>
      <c r="G7" s="2" t="s">
        <v>7</v>
      </c>
      <c r="H7" s="10" t="s">
        <v>12</v>
      </c>
      <c r="I7" s="12">
        <v>1</v>
      </c>
    </row>
    <row r="8" spans="1:9" ht="12.75" customHeight="1">
      <c r="A8" s="14">
        <v>4</v>
      </c>
      <c r="B8" s="15">
        <v>42255</v>
      </c>
      <c r="C8" t="s">
        <v>21</v>
      </c>
      <c r="D8" s="16" t="s">
        <v>11</v>
      </c>
      <c r="E8" s="22" t="b">
        <v>1</v>
      </c>
    </row>
    <row r="9" spans="1:9" ht="12.75" customHeight="1">
      <c r="A9" s="14">
        <v>5</v>
      </c>
      <c r="B9" s="15" t="s">
        <v>27</v>
      </c>
      <c r="C9" t="s">
        <v>22</v>
      </c>
      <c r="D9" t="s">
        <v>10</v>
      </c>
      <c r="E9" s="22" t="b">
        <v>0</v>
      </c>
      <c r="G9" s="2" t="s">
        <v>14</v>
      </c>
      <c r="H9" s="1">
        <f>COUNTIF($C$5:$C$29,"&lt;&gt;")</f>
        <v>22</v>
      </c>
    </row>
    <row r="10" spans="1:9" ht="12.75" customHeight="1">
      <c r="A10" s="14">
        <v>6</v>
      </c>
      <c r="B10" s="15" t="s">
        <v>27</v>
      </c>
      <c r="C10" t="s">
        <v>23</v>
      </c>
      <c r="D10" t="s">
        <v>11</v>
      </c>
      <c r="E10" s="22" t="b">
        <v>0</v>
      </c>
      <c r="G10" s="2" t="s">
        <v>16</v>
      </c>
      <c r="H10" s="1">
        <f>COUNTIFS($D$5:$D$29,$H$5,$E$5:$E$29,TRUE)*$I$5+COUNTIFS($D$5:$D$29,$H$6,$E$5:$E$29,TRUE)*$I$6+COUNTIFS($D$5:$D$29,$H$7,$E$5:$E$29,TRUE)*$I$7</f>
        <v>16</v>
      </c>
    </row>
    <row r="11" spans="1:9" ht="12.75" customHeight="1">
      <c r="A11" s="14">
        <v>7</v>
      </c>
      <c r="B11" s="15" t="s">
        <v>27</v>
      </c>
      <c r="C11" t="s">
        <v>24</v>
      </c>
      <c r="D11" t="s">
        <v>10</v>
      </c>
      <c r="E11" s="22" t="b">
        <v>0</v>
      </c>
      <c r="G11" s="2" t="s">
        <v>15</v>
      </c>
      <c r="H11" s="1">
        <f>COUNTIF($D$5:$D$29,$H$5)*$I$5+COUNTIF($D$5:$D$29,$H$6)*$I$6+COUNTIF($D$5:$D$29,$H$7)*$I$7</f>
        <v>92</v>
      </c>
    </row>
    <row r="12" spans="1:9" ht="12.75" customHeight="1">
      <c r="A12" s="14">
        <v>8</v>
      </c>
      <c r="B12" s="15" t="s">
        <v>27</v>
      </c>
      <c r="C12" t="s">
        <v>25</v>
      </c>
      <c r="D12" t="s">
        <v>10</v>
      </c>
      <c r="E12" s="22" t="b">
        <v>0</v>
      </c>
      <c r="G12" s="2" t="s">
        <v>8</v>
      </c>
      <c r="H12" s="13">
        <f>IFERROR(H10/H11,0)</f>
        <v>0.17391304347826086</v>
      </c>
    </row>
    <row r="13" spans="1:9" ht="12.75" customHeight="1">
      <c r="A13" s="14">
        <v>9</v>
      </c>
      <c r="B13" s="15" t="s">
        <v>27</v>
      </c>
      <c r="C13" t="s">
        <v>26</v>
      </c>
      <c r="D13" s="24" t="s">
        <v>11</v>
      </c>
      <c r="E13" s="22" t="b">
        <v>0</v>
      </c>
    </row>
    <row r="14" spans="1:9" ht="12.75" customHeight="1">
      <c r="A14" s="14">
        <v>10</v>
      </c>
      <c r="B14" s="15"/>
      <c r="C14" t="s">
        <v>28</v>
      </c>
      <c r="D14" t="s">
        <v>11</v>
      </c>
      <c r="E14" s="22" t="b">
        <v>0</v>
      </c>
    </row>
    <row r="15" spans="1:9" ht="12.75" customHeight="1">
      <c r="A15" s="14">
        <v>11</v>
      </c>
      <c r="B15" s="15"/>
      <c r="C15" t="s">
        <v>29</v>
      </c>
      <c r="D15" t="s">
        <v>11</v>
      </c>
      <c r="E15" s="22" t="b">
        <v>0</v>
      </c>
    </row>
    <row r="16" spans="1:9" ht="12.75" customHeight="1">
      <c r="A16" s="14">
        <v>12</v>
      </c>
      <c r="B16" s="15"/>
      <c r="C16" t="s">
        <v>30</v>
      </c>
      <c r="D16" t="s">
        <v>10</v>
      </c>
      <c r="E16" s="22" t="b">
        <v>0</v>
      </c>
    </row>
    <row r="17" spans="1:5" ht="12.75" customHeight="1">
      <c r="A17" s="14">
        <v>13</v>
      </c>
      <c r="B17" s="15"/>
      <c r="C17" t="s">
        <v>31</v>
      </c>
      <c r="D17" t="s">
        <v>10</v>
      </c>
      <c r="E17" s="22" t="b">
        <v>0</v>
      </c>
    </row>
    <row r="18" spans="1:5" ht="12.75" customHeight="1">
      <c r="A18" s="14">
        <v>14</v>
      </c>
      <c r="B18" s="15"/>
      <c r="C18" t="s">
        <v>32</v>
      </c>
      <c r="D18" t="s">
        <v>10</v>
      </c>
      <c r="E18" s="22" t="b">
        <v>0</v>
      </c>
    </row>
    <row r="19" spans="1:5" ht="12.75" customHeight="1">
      <c r="A19" s="14">
        <v>15</v>
      </c>
      <c r="B19" s="15"/>
      <c r="C19" t="s">
        <v>33</v>
      </c>
      <c r="D19" t="s">
        <v>10</v>
      </c>
      <c r="E19" s="22" t="b">
        <v>0</v>
      </c>
    </row>
    <row r="20" spans="1:5" ht="12.75" customHeight="1">
      <c r="A20" s="14">
        <v>16</v>
      </c>
      <c r="B20" s="15"/>
      <c r="C20" t="s">
        <v>34</v>
      </c>
      <c r="D20" s="24" t="s">
        <v>11</v>
      </c>
      <c r="E20" s="22" t="b">
        <v>0</v>
      </c>
    </row>
    <row r="21" spans="1:5" ht="12.75" customHeight="1">
      <c r="A21" s="14">
        <v>17</v>
      </c>
      <c r="B21" s="15"/>
      <c r="C21" t="s">
        <v>35</v>
      </c>
      <c r="D21" t="s">
        <v>10</v>
      </c>
      <c r="E21" s="22" t="b">
        <v>0</v>
      </c>
    </row>
    <row r="22" spans="1:5" ht="12.75" customHeight="1">
      <c r="A22" s="14">
        <v>18</v>
      </c>
      <c r="B22" s="15"/>
      <c r="C22" t="s">
        <v>36</v>
      </c>
      <c r="D22" t="s">
        <v>10</v>
      </c>
      <c r="E22" s="22" t="b">
        <v>0</v>
      </c>
    </row>
    <row r="23" spans="1:5" ht="12.75" customHeight="1">
      <c r="A23" s="14">
        <v>19</v>
      </c>
      <c r="B23" s="15"/>
      <c r="C23" t="s">
        <v>37</v>
      </c>
      <c r="D23" t="s">
        <v>11</v>
      </c>
      <c r="E23" s="22" t="b">
        <v>0</v>
      </c>
    </row>
    <row r="24" spans="1:5" ht="12.75" customHeight="1">
      <c r="A24" s="14">
        <v>20</v>
      </c>
      <c r="B24" s="15"/>
      <c r="C24" t="s">
        <v>38</v>
      </c>
      <c r="D24" t="s">
        <v>10</v>
      </c>
      <c r="E24" s="22" t="b">
        <v>0</v>
      </c>
    </row>
    <row r="25" spans="1:5" ht="12.75" customHeight="1">
      <c r="A25" s="14">
        <v>21</v>
      </c>
      <c r="B25" s="15"/>
      <c r="C25" t="s">
        <v>39</v>
      </c>
      <c r="D25" t="s">
        <v>11</v>
      </c>
      <c r="E25" s="22" t="b">
        <v>0</v>
      </c>
    </row>
    <row r="26" spans="1:5" ht="12.75" customHeight="1">
      <c r="A26" s="14">
        <v>22</v>
      </c>
      <c r="B26" s="15"/>
      <c r="C26" t="s">
        <v>40</v>
      </c>
      <c r="D26" t="s">
        <v>10</v>
      </c>
      <c r="E26" s="22" t="b">
        <v>0</v>
      </c>
    </row>
    <row r="27" spans="1:5" ht="12.75" customHeight="1">
      <c r="A27" s="14">
        <v>23</v>
      </c>
      <c r="B27" s="15"/>
      <c r="C27" s="16"/>
      <c r="D27" s="16"/>
      <c r="E27" s="22" t="b">
        <v>0</v>
      </c>
    </row>
    <row r="28" spans="1:5" ht="12.75" customHeight="1">
      <c r="A28" s="14">
        <v>24</v>
      </c>
      <c r="B28" s="15"/>
      <c r="C28" s="16"/>
      <c r="D28" s="16"/>
      <c r="E28" s="22" t="b">
        <v>0</v>
      </c>
    </row>
    <row r="29" spans="1:5" ht="12.75" customHeight="1">
      <c r="A29" s="14">
        <v>25</v>
      </c>
      <c r="B29" s="15"/>
      <c r="C29" s="16"/>
      <c r="D29" s="16"/>
      <c r="E29" s="22" t="b">
        <v>0</v>
      </c>
    </row>
  </sheetData>
  <conditionalFormatting sqref="C5 C7 C27:C29">
    <cfRule type="expression" dxfId="1" priority="2">
      <formula>$E5=TRUE</formula>
    </cfRule>
  </conditionalFormatting>
  <conditionalFormatting sqref="A5:E5 A7:E7 A6:B6 D6:E6 A27:E29 D8:E8 A8:B26 E9:E26">
    <cfRule type="expression" dxfId="0" priority="1">
      <formula>AND($E5=TRUE,$C5&lt;&gt;"")</formula>
    </cfRule>
  </conditionalFormatting>
  <dataValidations count="1">
    <dataValidation type="list" allowBlank="1" showInputMessage="1" showErrorMessage="1" sqref="D5:D8 D27:D29" xr:uid="{00000000-0002-0000-0000-000000000000}">
      <formula1>$H$5:$H$7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4</xdr:col>
                    <xdr:colOff>480060</xdr:colOff>
                    <xdr:row>3</xdr:row>
                    <xdr:rowOff>213360</xdr:rowOff>
                  </from>
                  <to>
                    <xdr:col>9</xdr:col>
                    <xdr:colOff>114300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Fill="0" autoLine="0" autoPict="0">
                <anchor moveWithCells="1">
                  <from>
                    <xdr:col>4</xdr:col>
                    <xdr:colOff>480060</xdr:colOff>
                    <xdr:row>4</xdr:row>
                    <xdr:rowOff>152400</xdr:rowOff>
                  </from>
                  <to>
                    <xdr:col>9</xdr:col>
                    <xdr:colOff>114300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>
                <anchor moveWithCells="1">
                  <from>
                    <xdr:col>4</xdr:col>
                    <xdr:colOff>480060</xdr:colOff>
                    <xdr:row>5</xdr:row>
                    <xdr:rowOff>144780</xdr:rowOff>
                  </from>
                  <to>
                    <xdr:col>9</xdr:col>
                    <xdr:colOff>114300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Check Box 5">
              <controlPr defaultSize="0" autoFill="0" autoLine="0" autoPict="0">
                <anchor moveWithCells="1">
                  <from>
                    <xdr:col>4</xdr:col>
                    <xdr:colOff>480060</xdr:colOff>
                    <xdr:row>6</xdr:row>
                    <xdr:rowOff>144780</xdr:rowOff>
                  </from>
                  <to>
                    <xdr:col>9</xdr:col>
                    <xdr:colOff>114300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Check Box 6">
              <controlPr defaultSize="0" autoFill="0" autoLine="0" autoPict="0">
                <anchor moveWithCells="1">
                  <from>
                    <xdr:col>4</xdr:col>
                    <xdr:colOff>480060</xdr:colOff>
                    <xdr:row>7</xdr:row>
                    <xdr:rowOff>144780</xdr:rowOff>
                  </from>
                  <to>
                    <xdr:col>9</xdr:col>
                    <xdr:colOff>114300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9" name="Check Box 7">
              <controlPr defaultSize="0" autoFill="0" autoLine="0" autoPict="0">
                <anchor moveWithCells="1">
                  <from>
                    <xdr:col>4</xdr:col>
                    <xdr:colOff>480060</xdr:colOff>
                    <xdr:row>8</xdr:row>
                    <xdr:rowOff>144780</xdr:rowOff>
                  </from>
                  <to>
                    <xdr:col>9</xdr:col>
                    <xdr:colOff>114300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0" name="Check Box 8">
              <controlPr defaultSize="0" autoFill="0" autoLine="0" autoPict="0">
                <anchor moveWithCells="1">
                  <from>
                    <xdr:col>4</xdr:col>
                    <xdr:colOff>480060</xdr:colOff>
                    <xdr:row>9</xdr:row>
                    <xdr:rowOff>144780</xdr:rowOff>
                  </from>
                  <to>
                    <xdr:col>9</xdr:col>
                    <xdr:colOff>114300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1" name="Check Box 9">
              <controlPr defaultSize="0" autoFill="0" autoLine="0" autoPict="0">
                <anchor moveWithCells="1">
                  <from>
                    <xdr:col>4</xdr:col>
                    <xdr:colOff>480060</xdr:colOff>
                    <xdr:row>10</xdr:row>
                    <xdr:rowOff>144780</xdr:rowOff>
                  </from>
                  <to>
                    <xdr:col>9</xdr:col>
                    <xdr:colOff>114300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2" name="Check Box 10">
              <controlPr defaultSize="0" autoFill="0" autoLine="0" autoPict="0">
                <anchor moveWithCells="1">
                  <from>
                    <xdr:col>4</xdr:col>
                    <xdr:colOff>480060</xdr:colOff>
                    <xdr:row>11</xdr:row>
                    <xdr:rowOff>144780</xdr:rowOff>
                  </from>
                  <to>
                    <xdr:col>9</xdr:col>
                    <xdr:colOff>114300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3" name="Check Box 11">
              <controlPr defaultSize="0" autoFill="0" autoLine="0" autoPict="0">
                <anchor moveWithCells="1">
                  <from>
                    <xdr:col>4</xdr:col>
                    <xdr:colOff>480060</xdr:colOff>
                    <xdr:row>12</xdr:row>
                    <xdr:rowOff>144780</xdr:rowOff>
                  </from>
                  <to>
                    <xdr:col>9</xdr:col>
                    <xdr:colOff>114300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4" name="Check Box 12">
              <controlPr defaultSize="0" autoFill="0" autoLine="0" autoPict="0">
                <anchor moveWithCells="1">
                  <from>
                    <xdr:col>4</xdr:col>
                    <xdr:colOff>480060</xdr:colOff>
                    <xdr:row>13</xdr:row>
                    <xdr:rowOff>137160</xdr:rowOff>
                  </from>
                  <to>
                    <xdr:col>9</xdr:col>
                    <xdr:colOff>114300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5" name="Check Box 13">
              <controlPr defaultSize="0" autoFill="0" autoLine="0" autoPict="0">
                <anchor moveWithCells="1">
                  <from>
                    <xdr:col>4</xdr:col>
                    <xdr:colOff>480060</xdr:colOff>
                    <xdr:row>14</xdr:row>
                    <xdr:rowOff>137160</xdr:rowOff>
                  </from>
                  <to>
                    <xdr:col>9</xdr:col>
                    <xdr:colOff>114300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6" name="Check Box 14">
              <controlPr defaultSize="0" autoFill="0" autoLine="0" autoPict="0">
                <anchor moveWithCells="1">
                  <from>
                    <xdr:col>4</xdr:col>
                    <xdr:colOff>480060</xdr:colOff>
                    <xdr:row>15</xdr:row>
                    <xdr:rowOff>137160</xdr:rowOff>
                  </from>
                  <to>
                    <xdr:col>9</xdr:col>
                    <xdr:colOff>114300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7" name="Check Box 15">
              <controlPr defaultSize="0" autoFill="0" autoLine="0" autoPict="0">
                <anchor moveWithCells="1">
                  <from>
                    <xdr:col>4</xdr:col>
                    <xdr:colOff>480060</xdr:colOff>
                    <xdr:row>16</xdr:row>
                    <xdr:rowOff>137160</xdr:rowOff>
                  </from>
                  <to>
                    <xdr:col>9</xdr:col>
                    <xdr:colOff>114300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8" name="Check Box 16">
              <controlPr defaultSize="0" autoFill="0" autoLine="0" autoPict="0">
                <anchor moveWithCells="1">
                  <from>
                    <xdr:col>4</xdr:col>
                    <xdr:colOff>480060</xdr:colOff>
                    <xdr:row>17</xdr:row>
                    <xdr:rowOff>137160</xdr:rowOff>
                  </from>
                  <to>
                    <xdr:col>9</xdr:col>
                    <xdr:colOff>114300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9" name="Check Box 17">
              <controlPr defaultSize="0" autoFill="0" autoLine="0" autoPict="0">
                <anchor moveWithCells="1">
                  <from>
                    <xdr:col>4</xdr:col>
                    <xdr:colOff>480060</xdr:colOff>
                    <xdr:row>18</xdr:row>
                    <xdr:rowOff>137160</xdr:rowOff>
                  </from>
                  <to>
                    <xdr:col>9</xdr:col>
                    <xdr:colOff>114300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0" name="Check Box 18">
              <controlPr defaultSize="0" autoFill="0" autoLine="0" autoPict="0">
                <anchor moveWithCells="1">
                  <from>
                    <xdr:col>4</xdr:col>
                    <xdr:colOff>480060</xdr:colOff>
                    <xdr:row>19</xdr:row>
                    <xdr:rowOff>137160</xdr:rowOff>
                  </from>
                  <to>
                    <xdr:col>9</xdr:col>
                    <xdr:colOff>114300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1" name="Check Box 19">
              <controlPr defaultSize="0" autoFill="0" autoLine="0" autoPict="0">
                <anchor moveWithCells="1">
                  <from>
                    <xdr:col>4</xdr:col>
                    <xdr:colOff>480060</xdr:colOff>
                    <xdr:row>20</xdr:row>
                    <xdr:rowOff>137160</xdr:rowOff>
                  </from>
                  <to>
                    <xdr:col>9</xdr:col>
                    <xdr:colOff>114300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2" name="Check Box 20">
              <controlPr defaultSize="0" autoFill="0" autoLine="0" autoPict="0">
                <anchor moveWithCells="1">
                  <from>
                    <xdr:col>4</xdr:col>
                    <xdr:colOff>480060</xdr:colOff>
                    <xdr:row>21</xdr:row>
                    <xdr:rowOff>137160</xdr:rowOff>
                  </from>
                  <to>
                    <xdr:col>9</xdr:col>
                    <xdr:colOff>114300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3" name="Check Box 21">
              <controlPr defaultSize="0" autoFill="0" autoLine="0" autoPict="0">
                <anchor moveWithCells="1">
                  <from>
                    <xdr:col>4</xdr:col>
                    <xdr:colOff>480060</xdr:colOff>
                    <xdr:row>22</xdr:row>
                    <xdr:rowOff>137160</xdr:rowOff>
                  </from>
                  <to>
                    <xdr:col>9</xdr:col>
                    <xdr:colOff>114300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4" name="Check Box 22">
              <controlPr defaultSize="0" autoFill="0" autoLine="0" autoPict="0">
                <anchor moveWithCells="1">
                  <from>
                    <xdr:col>4</xdr:col>
                    <xdr:colOff>480060</xdr:colOff>
                    <xdr:row>23</xdr:row>
                    <xdr:rowOff>137160</xdr:rowOff>
                  </from>
                  <to>
                    <xdr:col>9</xdr:col>
                    <xdr:colOff>114300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5" name="Check Box 23">
              <controlPr defaultSize="0" autoFill="0" autoLine="0" autoPict="0">
                <anchor moveWithCells="1">
                  <from>
                    <xdr:col>4</xdr:col>
                    <xdr:colOff>480060</xdr:colOff>
                    <xdr:row>24</xdr:row>
                    <xdr:rowOff>137160</xdr:rowOff>
                  </from>
                  <to>
                    <xdr:col>9</xdr:col>
                    <xdr:colOff>114300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6" name="Check Box 24">
              <controlPr defaultSize="0" autoFill="0" autoLine="0" autoPict="0">
                <anchor moveWithCells="1">
                  <from>
                    <xdr:col>4</xdr:col>
                    <xdr:colOff>480060</xdr:colOff>
                    <xdr:row>25</xdr:row>
                    <xdr:rowOff>137160</xdr:rowOff>
                  </from>
                  <to>
                    <xdr:col>9</xdr:col>
                    <xdr:colOff>114300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7" name="Check Box 25">
              <controlPr defaultSize="0" autoFill="0" autoLine="0" autoPict="0">
                <anchor moveWithCells="1">
                  <from>
                    <xdr:col>4</xdr:col>
                    <xdr:colOff>480060</xdr:colOff>
                    <xdr:row>26</xdr:row>
                    <xdr:rowOff>144780</xdr:rowOff>
                  </from>
                  <to>
                    <xdr:col>9</xdr:col>
                    <xdr:colOff>114300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8" name="Check Box 26">
              <controlPr defaultSize="0" autoFill="0" autoLine="0" autoPict="0">
                <anchor moveWithCells="1">
                  <from>
                    <xdr:col>4</xdr:col>
                    <xdr:colOff>480060</xdr:colOff>
                    <xdr:row>27</xdr:row>
                    <xdr:rowOff>144780</xdr:rowOff>
                  </from>
                  <to>
                    <xdr:col>9</xdr:col>
                    <xdr:colOff>114300</xdr:colOff>
                    <xdr:row>29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Do List Check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Warushi</cp:lastModifiedBy>
  <cp:lastPrinted>2015-09-08T04:26:46Z</cp:lastPrinted>
  <dcterms:created xsi:type="dcterms:W3CDTF">2015-09-07T14:42:03Z</dcterms:created>
  <dcterms:modified xsi:type="dcterms:W3CDTF">2025-11-04T10:28:17Z</dcterms:modified>
</cp:coreProperties>
</file>